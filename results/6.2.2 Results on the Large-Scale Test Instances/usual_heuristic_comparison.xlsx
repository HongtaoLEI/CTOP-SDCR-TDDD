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3236" windowHeight="13875" tabRatio="600" firstSheet="0" activeTab="0" autoFilterDateGrouping="1"/>
  </bookViews>
  <sheets>
    <sheet name="All Instances" sheetId="1" state="visible" r:id="rId1"/>
    <sheet name="Avg by Instance Type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宋体"/>
      <family val="2"/>
      <color theme="1"/>
      <sz val="11"/>
      <scheme val="minor"/>
    </font>
    <font>
      <name val="宋体"/>
      <b val="1"/>
      <sz val="11"/>
    </font>
  </fonts>
  <fills count="9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BDD7EE"/>
      </patternFill>
    </fill>
    <fill>
      <patternFill patternType="solid">
        <fgColor rgb="FFE2EFDA"/>
      </patternFill>
    </fill>
    <fill>
      <patternFill patternType="solid">
        <fgColor rgb="FFF4CCCC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EAD1D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6"/>
  <sheetViews>
    <sheetView tabSelected="1" workbookViewId="0">
      <pane xSplit="2" ySplit="1" topLeftCell="R2" activePane="bottomRight" state="frozen"/>
      <selection pane="topRight" activeCell="A1" sqref="A1"/>
      <selection pane="bottomLeft" activeCell="A1" sqref="A1"/>
      <selection pane="bottomRight" activeCell="AC15" sqref="AC15"/>
    </sheetView>
  </sheetViews>
  <sheetFormatPr baseColWidth="8" defaultRowHeight="13.5"/>
  <cols>
    <col width="14" customWidth="1" min="1" max="2"/>
    <col width="15" customWidth="1" min="3" max="4"/>
    <col width="14" customWidth="1" min="5" max="5"/>
    <col width="18" customWidth="1" min="6" max="6"/>
    <col width="17" customWidth="1" min="7" max="7"/>
    <col width="18" customWidth="1" min="8" max="8"/>
    <col width="14" customWidth="1" min="9" max="10"/>
    <col width="25" customWidth="1" min="11" max="11"/>
    <col width="16" customWidth="1" min="12" max="12"/>
    <col width="17" customWidth="1" min="13" max="13"/>
    <col width="14" customWidth="1" min="14" max="15"/>
    <col width="24" customWidth="1" min="16" max="16"/>
    <col width="17" customWidth="1" min="17" max="17"/>
    <col width="18" customWidth="1" min="18" max="18"/>
    <col width="14" customWidth="1" min="19" max="20"/>
    <col width="25" customWidth="1" min="21" max="21"/>
    <col width="10.73046875" bestFit="1" customWidth="1" min="25" max="25"/>
    <col width="18.06640625" customWidth="1" min="26" max="26"/>
  </cols>
  <sheetData>
    <row r="1" ht="40.5" customHeight="1">
      <c r="A1" s="1" t="inlineStr">
        <is>
          <t>Customers</t>
        </is>
      </c>
      <c r="B1" s="1" t="inlineStr">
        <is>
          <t>Instance</t>
        </is>
      </c>
      <c r="C1" s="2" t="inlineStr">
        <is>
          <t>ALNS Mean Obj</t>
        </is>
      </c>
      <c r="D1" s="2" t="inlineStr">
        <is>
          <t>ALNS Best Obj</t>
        </is>
      </c>
      <c r="E1" s="2" t="inlineStr">
        <is>
          <t>ALNS Obj Std</t>
        </is>
      </c>
      <c r="F1" s="2" t="inlineStr">
        <is>
          <t>ALNS Runtime (s)</t>
        </is>
      </c>
      <c r="G1" s="3" t="inlineStr">
        <is>
          <t>ACO Avg Fitness</t>
        </is>
      </c>
      <c r="H1" s="3" t="inlineStr">
        <is>
          <t>ACO Best Fitness</t>
        </is>
      </c>
      <c r="I1" s="3" t="inlineStr">
        <is>
          <t>ACO Std Dev</t>
        </is>
      </c>
      <c r="J1" s="3" t="inlineStr">
        <is>
          <t>ACO Time (s)</t>
        </is>
      </c>
      <c r="K1" s="4" t="inlineStr">
        <is>
          <t>GAP ALNS vs ACO Avg (%)</t>
        </is>
      </c>
      <c r="L1" s="5" t="inlineStr">
        <is>
          <t>GA Avg Fitness</t>
        </is>
      </c>
      <c r="M1" s="5" t="inlineStr">
        <is>
          <t>GA Best Fitness</t>
        </is>
      </c>
      <c r="N1" s="5" t="inlineStr">
        <is>
          <t>GA Std Dev</t>
        </is>
      </c>
      <c r="O1" s="5" t="inlineStr">
        <is>
          <t>GA Time (s)</t>
        </is>
      </c>
      <c r="P1" s="4" t="inlineStr">
        <is>
          <t>GAP ALNS vs GA Avg (%)</t>
        </is>
      </c>
      <c r="Q1" s="6" t="inlineStr">
        <is>
          <t>PSO Avg Fitness</t>
        </is>
      </c>
      <c r="R1" s="6" t="inlineStr">
        <is>
          <t>PSO Best Fitness</t>
        </is>
      </c>
      <c r="S1" s="6" t="inlineStr">
        <is>
          <t>PSO Std Dev</t>
        </is>
      </c>
      <c r="T1" s="6" t="inlineStr">
        <is>
          <t>PSO Time (s)</t>
        </is>
      </c>
      <c r="U1" s="4" t="inlineStr">
        <is>
          <t>GAP ALNS vs PSO Avg (%)</t>
        </is>
      </c>
      <c r="V1" s="8" t="inlineStr">
        <is>
          <t>SALNS Avg Fitness</t>
        </is>
      </c>
      <c r="W1" s="8" t="inlineStr">
        <is>
          <t>SALNS Best Fitness</t>
        </is>
      </c>
      <c r="X1" s="8" t="inlineStr">
        <is>
          <t>SALNS Std Dev</t>
        </is>
      </c>
      <c r="Y1" s="8" t="inlineStr">
        <is>
          <t>SALNS Time (s)</t>
        </is>
      </c>
      <c r="Z1" s="4" t="inlineStr">
        <is>
          <t>GAP ALNS vs SALNS Avg (%)</t>
        </is>
      </c>
    </row>
    <row r="2">
      <c r="A2" t="n">
        <v>50</v>
      </c>
      <c r="B2" t="inlineStr">
        <is>
          <t>R101</t>
        </is>
      </c>
      <c r="C2" t="n">
        <v>1.825835</v>
      </c>
      <c r="D2" t="n">
        <v>2.096386</v>
      </c>
      <c r="E2" t="n">
        <v>0.216947</v>
      </c>
      <c r="F2" t="n">
        <v>885.680322</v>
      </c>
      <c r="G2" t="n">
        <v>1.8837</v>
      </c>
      <c r="H2" t="n">
        <v>1.9721</v>
      </c>
      <c r="I2" t="n">
        <v>0.07489999999999999</v>
      </c>
      <c r="J2" t="n">
        <v>0.77</v>
      </c>
      <c r="K2">
        <f>(H2-D2)/H2*100</f>
        <v/>
      </c>
      <c r="L2" t="n">
        <v>1.1582</v>
      </c>
      <c r="M2" t="n">
        <v>1.2471</v>
      </c>
      <c r="N2" t="n">
        <v>0.0684</v>
      </c>
      <c r="O2" t="n">
        <v>0.77</v>
      </c>
      <c r="P2">
        <f>(L2-C2)/L2</f>
        <v/>
      </c>
      <c r="Q2" t="n">
        <v>1.1311</v>
      </c>
      <c r="R2" t="n">
        <v>1.3181</v>
      </c>
      <c r="S2" t="n">
        <v>0.1242</v>
      </c>
      <c r="T2" t="n">
        <v>0.57</v>
      </c>
      <c r="U2">
        <f>(Q2-C2)/Q2</f>
        <v/>
      </c>
      <c r="V2" t="n">
        <v>1.59994</v>
      </c>
      <c r="W2" t="n">
        <v>1.662814</v>
      </c>
      <c r="X2" t="n">
        <v>0.083162</v>
      </c>
      <c r="Y2" t="n">
        <v>97.272639</v>
      </c>
      <c r="Z2">
        <f>(V2-C2)/V2</f>
        <v/>
      </c>
    </row>
    <row r="3">
      <c r="A3" t="n">
        <v>50</v>
      </c>
      <c r="B3" t="inlineStr">
        <is>
          <t>C101</t>
        </is>
      </c>
      <c r="C3" t="n">
        <v>2.927015</v>
      </c>
      <c r="D3" t="n">
        <v>3.300971</v>
      </c>
      <c r="E3" t="n">
        <v>0.20247</v>
      </c>
      <c r="F3" t="n">
        <v>2056.025941</v>
      </c>
      <c r="G3" t="n">
        <v>2.9712</v>
      </c>
      <c r="H3" t="n">
        <v>3.0217</v>
      </c>
      <c r="I3" t="n">
        <v>0.0534</v>
      </c>
      <c r="J3" t="n">
        <v>0.88</v>
      </c>
      <c r="K3">
        <f>(H3-D3)/H3*100</f>
        <v/>
      </c>
      <c r="L3" t="n">
        <v>1.7378</v>
      </c>
      <c r="M3" t="n">
        <v>1.9347</v>
      </c>
      <c r="N3" t="n">
        <v>0.0822</v>
      </c>
      <c r="O3" t="n">
        <v>0.58</v>
      </c>
      <c r="P3">
        <f>(L3-C3)/L3</f>
        <v/>
      </c>
      <c r="Q3" t="n">
        <v>1.8787</v>
      </c>
      <c r="R3" t="n">
        <v>2.0957</v>
      </c>
      <c r="S3" t="n">
        <v>0.1675</v>
      </c>
      <c r="T3" t="n">
        <v>0.58</v>
      </c>
      <c r="U3">
        <f>(Q3-C3)/Q3</f>
        <v/>
      </c>
      <c r="V3" t="n">
        <v>2.781208</v>
      </c>
      <c r="W3" t="n">
        <v>3.232323</v>
      </c>
      <c r="X3" t="n">
        <v>0.308202</v>
      </c>
      <c r="Y3" t="n">
        <v>69.930723</v>
      </c>
      <c r="Z3">
        <f>(V3-C3)/V3</f>
        <v/>
      </c>
    </row>
    <row r="4">
      <c r="A4" t="n">
        <v>50</v>
      </c>
      <c r="B4" t="inlineStr">
        <is>
          <t>C201</t>
        </is>
      </c>
      <c r="C4" t="n">
        <v>2.262529</v>
      </c>
      <c r="D4" t="n">
        <v>2.352941</v>
      </c>
      <c r="E4" t="n">
        <v>0.083722</v>
      </c>
      <c r="F4" t="n">
        <v>1606.472713</v>
      </c>
      <c r="G4" t="n">
        <v>2.1757</v>
      </c>
      <c r="H4" t="n">
        <v>2.4425</v>
      </c>
      <c r="I4" t="n">
        <v>0.09669999999999999</v>
      </c>
      <c r="J4" t="n">
        <v>0.9399999999999999</v>
      </c>
      <c r="K4">
        <f>(G4-C4)/G4*100</f>
        <v/>
      </c>
      <c r="L4" t="n">
        <v>1.5797</v>
      </c>
      <c r="M4" t="n">
        <v>1.7727</v>
      </c>
      <c r="N4" t="n">
        <v>0.1245</v>
      </c>
      <c r="O4" t="n">
        <v>0.65</v>
      </c>
      <c r="P4">
        <f>(L4-C4)/L4</f>
        <v/>
      </c>
      <c r="Q4" t="n">
        <v>1.7339</v>
      </c>
      <c r="R4" t="n">
        <v>1.9696</v>
      </c>
      <c r="S4" t="n">
        <v>0.1614</v>
      </c>
      <c r="T4" t="n">
        <v>0.5600000000000001</v>
      </c>
      <c r="U4">
        <f>(Q4-C4)/Q4</f>
        <v/>
      </c>
      <c r="V4" t="n">
        <v>2.071568</v>
      </c>
      <c r="W4" t="n">
        <v>2.535211</v>
      </c>
      <c r="X4" t="n">
        <v>0.204336</v>
      </c>
      <c r="Y4" t="n">
        <v>83.038839</v>
      </c>
      <c r="Z4">
        <f>(V4-C4)/V4</f>
        <v/>
      </c>
    </row>
    <row r="5">
      <c r="A5" t="n">
        <v>50</v>
      </c>
      <c r="B5" t="inlineStr">
        <is>
          <t>RC101</t>
        </is>
      </c>
      <c r="C5" t="n">
        <v>2.047819</v>
      </c>
      <c r="D5" t="n">
        <v>2.057143</v>
      </c>
      <c r="E5" t="n">
        <v>0.008704</v>
      </c>
      <c r="F5" t="n">
        <v>1512.990519</v>
      </c>
      <c r="G5" t="n">
        <v>1.8344</v>
      </c>
      <c r="H5" t="n">
        <v>1.8536</v>
      </c>
      <c r="I5" t="n">
        <v>0.0157</v>
      </c>
      <c r="J5" t="n">
        <v>0.73</v>
      </c>
      <c r="K5">
        <f>(G5-C5)/G5*100</f>
        <v/>
      </c>
      <c r="L5" t="n">
        <v>1.1249</v>
      </c>
      <c r="M5" t="n">
        <v>1.6278</v>
      </c>
      <c r="N5" t="n">
        <v>0.1873</v>
      </c>
      <c r="O5" t="n">
        <v>0.5600000000000001</v>
      </c>
      <c r="P5">
        <f>(L5-C5)/L5</f>
        <v/>
      </c>
      <c r="Q5" t="n">
        <v>1.0933</v>
      </c>
      <c r="R5" t="n">
        <v>1.2301</v>
      </c>
      <c r="S5" t="n">
        <v>0.0756</v>
      </c>
      <c r="T5" t="n">
        <v>0.5</v>
      </c>
      <c r="U5">
        <f>(Q5-C5)/Q5</f>
        <v/>
      </c>
      <c r="V5" t="n">
        <v>2.04289</v>
      </c>
      <c r="W5" t="n">
        <v>2.165605</v>
      </c>
      <c r="X5" t="n">
        <v>0.08719499999999999</v>
      </c>
      <c r="Y5" t="n">
        <v>102.541353</v>
      </c>
      <c r="Z5">
        <f>(V5-C5)/V5</f>
        <v/>
      </c>
    </row>
    <row r="6">
      <c r="A6" t="n">
        <v>60</v>
      </c>
      <c r="B6" t="inlineStr">
        <is>
          <t>R101</t>
        </is>
      </c>
      <c r="C6" t="n">
        <v>1.901</v>
      </c>
      <c r="D6" t="n">
        <v>2.081871</v>
      </c>
      <c r="E6" t="n">
        <v>0.122734</v>
      </c>
      <c r="F6" t="n">
        <v>717.561383</v>
      </c>
      <c r="G6" t="n">
        <v>2.0006</v>
      </c>
      <c r="H6" t="n">
        <v>2.2599</v>
      </c>
      <c r="I6" t="n">
        <v>0.0708</v>
      </c>
      <c r="J6" t="n">
        <v>0.98</v>
      </c>
      <c r="K6">
        <f>(G6-C6)/G6*100</f>
        <v/>
      </c>
      <c r="L6" t="n">
        <v>1.148</v>
      </c>
      <c r="M6" t="n">
        <v>1.3358</v>
      </c>
      <c r="N6" t="n">
        <v>0.118</v>
      </c>
      <c r="O6" t="n">
        <v>0.85</v>
      </c>
      <c r="P6">
        <f>(L6-C6)/L6</f>
        <v/>
      </c>
      <c r="Q6" t="n">
        <v>1.2393</v>
      </c>
      <c r="R6" t="n">
        <v>1.3341</v>
      </c>
      <c r="S6" t="n">
        <v>0.0725</v>
      </c>
      <c r="T6" t="n">
        <v>0.65</v>
      </c>
      <c r="U6">
        <f>(Q6-C6)/Q6</f>
        <v/>
      </c>
      <c r="V6" t="n">
        <v>1.851663</v>
      </c>
      <c r="W6" t="n">
        <v>2.137725</v>
      </c>
      <c r="X6" t="n">
        <v>0.193503</v>
      </c>
      <c r="Y6" t="n">
        <v>78.071063</v>
      </c>
      <c r="Z6">
        <f>(V6-C6)/V6</f>
        <v/>
      </c>
    </row>
    <row r="7">
      <c r="A7" t="n">
        <v>60</v>
      </c>
      <c r="B7" t="inlineStr">
        <is>
          <t>C101</t>
        </is>
      </c>
      <c r="C7" t="n">
        <v>3.150871</v>
      </c>
      <c r="D7" t="n">
        <v>3.411765</v>
      </c>
      <c r="E7" t="n">
        <v>0.211566</v>
      </c>
      <c r="F7" t="n">
        <v>2534.40665</v>
      </c>
      <c r="G7" t="n">
        <v>2.9289</v>
      </c>
      <c r="H7" t="n">
        <v>2.9796</v>
      </c>
      <c r="I7" t="n">
        <v>0.0434</v>
      </c>
      <c r="J7" t="n">
        <v>1.07</v>
      </c>
      <c r="K7">
        <f>(G7-C7)/G7*100</f>
        <v/>
      </c>
      <c r="L7" t="n">
        <v>1.5909</v>
      </c>
      <c r="M7" t="n">
        <v>1.8569</v>
      </c>
      <c r="N7" t="n">
        <v>0.1996</v>
      </c>
      <c r="O7" t="n">
        <v>0.61</v>
      </c>
      <c r="P7">
        <f>(L7-C7)/L7</f>
        <v/>
      </c>
      <c r="Q7" t="n">
        <v>1.6615</v>
      </c>
      <c r="R7" t="n">
        <v>1.8192</v>
      </c>
      <c r="S7" t="n">
        <v>0.1024</v>
      </c>
      <c r="T7" t="n">
        <v>0.63</v>
      </c>
      <c r="U7">
        <f>(Q7-C7)/Q7</f>
        <v/>
      </c>
      <c r="V7" t="n">
        <v>2.680248</v>
      </c>
      <c r="W7" t="n">
        <v>2.95082</v>
      </c>
      <c r="X7" t="n">
        <v>0.247344</v>
      </c>
      <c r="Y7" t="n">
        <v>89.767697</v>
      </c>
      <c r="Z7">
        <f>(V7-C7)/V7</f>
        <v/>
      </c>
    </row>
    <row r="8">
      <c r="A8" t="n">
        <v>60</v>
      </c>
      <c r="B8" t="inlineStr">
        <is>
          <t>C201</t>
        </is>
      </c>
      <c r="C8" t="n">
        <v>2.446</v>
      </c>
      <c r="D8" t="n">
        <v>2.631579</v>
      </c>
      <c r="E8" t="n">
        <v>0.11228</v>
      </c>
      <c r="F8" t="n">
        <v>2356.489592</v>
      </c>
      <c r="G8" t="n">
        <v>2.3199</v>
      </c>
      <c r="H8" t="n">
        <v>2.5032</v>
      </c>
      <c r="I8" t="n">
        <v>0.0796</v>
      </c>
      <c r="J8" t="n">
        <v>1.1</v>
      </c>
      <c r="K8">
        <f>(G8-C8)/G8*100</f>
        <v/>
      </c>
      <c r="L8" t="n">
        <v>1.5336</v>
      </c>
      <c r="M8" t="n">
        <v>1.7278</v>
      </c>
      <c r="N8" t="n">
        <v>0.1306</v>
      </c>
      <c r="O8" t="n">
        <v>0.6899999999999999</v>
      </c>
      <c r="P8">
        <f>(L8-C8)/L8</f>
        <v/>
      </c>
      <c r="Q8" t="n">
        <v>1.604</v>
      </c>
      <c r="R8" t="n">
        <v>1.9795</v>
      </c>
      <c r="S8" t="n">
        <v>0.2211</v>
      </c>
      <c r="T8" t="n">
        <v>0.62</v>
      </c>
      <c r="U8">
        <f>(Q8-C8)/Q8</f>
        <v/>
      </c>
      <c r="V8" t="n">
        <v>2.23666</v>
      </c>
      <c r="W8" t="n">
        <v>2.464789</v>
      </c>
      <c r="X8" t="n">
        <v>0.161244</v>
      </c>
      <c r="Y8" t="n">
        <v>112.699179</v>
      </c>
      <c r="Z8">
        <f>(V8-C8)/V8</f>
        <v/>
      </c>
    </row>
    <row r="9">
      <c r="A9" t="n">
        <v>60</v>
      </c>
      <c r="B9" t="inlineStr">
        <is>
          <t>RC101</t>
        </is>
      </c>
      <c r="C9" t="n">
        <v>2.090382</v>
      </c>
      <c r="D9" t="n">
        <v>2.169697</v>
      </c>
      <c r="E9" t="n">
        <v>0.047447</v>
      </c>
      <c r="F9" t="n">
        <v>1722.831553</v>
      </c>
      <c r="G9" t="n">
        <v>1.8454</v>
      </c>
      <c r="H9" t="n">
        <v>1.8935</v>
      </c>
      <c r="I9" t="n">
        <v>0.0325</v>
      </c>
      <c r="J9" t="n">
        <v>0.89</v>
      </c>
      <c r="K9">
        <f>(G9-C9)/G9*100</f>
        <v/>
      </c>
      <c r="L9" t="n">
        <v>1.0807</v>
      </c>
      <c r="M9" t="n">
        <v>1.3064</v>
      </c>
      <c r="N9" t="n">
        <v>0.1071</v>
      </c>
      <c r="O9" t="n">
        <v>0.62</v>
      </c>
      <c r="P9">
        <f>(L9-C9)/L9</f>
        <v/>
      </c>
      <c r="Q9" t="n">
        <v>1.1808</v>
      </c>
      <c r="R9" t="n">
        <v>1.4272</v>
      </c>
      <c r="S9" t="n">
        <v>0.1555</v>
      </c>
      <c r="T9" t="n">
        <v>0.54</v>
      </c>
      <c r="U9">
        <f>(Q9-C9)/Q9</f>
        <v/>
      </c>
      <c r="V9" t="n">
        <v>2.007197</v>
      </c>
      <c r="W9" t="n">
        <v>2.099415</v>
      </c>
      <c r="X9" t="n">
        <v>0.07159500000000001</v>
      </c>
      <c r="Y9" t="n">
        <v>137.881222</v>
      </c>
      <c r="Z9">
        <f>(V9-C9)/V9</f>
        <v/>
      </c>
    </row>
    <row r="10">
      <c r="A10" t="n">
        <v>70</v>
      </c>
      <c r="B10" t="inlineStr">
        <is>
          <t>R101</t>
        </is>
      </c>
      <c r="C10" t="n">
        <v>2.7653</v>
      </c>
      <c r="D10" t="n">
        <v>3.440678</v>
      </c>
      <c r="E10" t="n">
        <v>0.360193</v>
      </c>
      <c r="F10" t="n">
        <v>1610.825491</v>
      </c>
      <c r="G10" t="n">
        <v>2.1773</v>
      </c>
      <c r="H10" t="n">
        <v>2.2398</v>
      </c>
      <c r="I10" t="n">
        <v>0.0509</v>
      </c>
      <c r="J10" t="n">
        <v>1.14</v>
      </c>
      <c r="K10">
        <f>(G10-C10)/G10*100</f>
        <v/>
      </c>
      <c r="L10" t="n">
        <v>1.0876</v>
      </c>
      <c r="M10" t="n">
        <v>1.1738</v>
      </c>
      <c r="N10" t="n">
        <v>0.0649</v>
      </c>
      <c r="O10" t="n">
        <v>0.88</v>
      </c>
      <c r="P10">
        <f>(L10-C10)/L10</f>
        <v/>
      </c>
      <c r="Q10" t="n">
        <v>1.1711</v>
      </c>
      <c r="R10" t="n">
        <v>1.4057</v>
      </c>
      <c r="S10" t="n">
        <v>0.1414</v>
      </c>
      <c r="T10" t="n">
        <v>0.72</v>
      </c>
      <c r="U10">
        <f>(Q10-C10)/Q10</f>
        <v/>
      </c>
      <c r="V10" t="n">
        <v>2.534857</v>
      </c>
      <c r="W10" t="n">
        <v>1.73301</v>
      </c>
      <c r="X10" t="n">
        <v>0.12797</v>
      </c>
      <c r="Y10" t="n">
        <v>118.58472</v>
      </c>
      <c r="Z10">
        <f>(V10-C10)/V10</f>
        <v/>
      </c>
    </row>
    <row r="11">
      <c r="A11" t="n">
        <v>70</v>
      </c>
      <c r="B11" t="inlineStr">
        <is>
          <t>C101</t>
        </is>
      </c>
      <c r="C11" t="n">
        <v>3.45686</v>
      </c>
      <c r="D11" t="n">
        <v>3.673469</v>
      </c>
      <c r="E11" t="n">
        <v>0.202867</v>
      </c>
      <c r="F11" t="n">
        <v>5236.026233</v>
      </c>
      <c r="G11" t="n">
        <v>3.1307</v>
      </c>
      <c r="H11" t="n">
        <v>3.1406</v>
      </c>
      <c r="I11" t="n">
        <v>0.0281</v>
      </c>
      <c r="J11" t="n">
        <v>1.23</v>
      </c>
      <c r="K11">
        <f>(G11-C11)/G11*100</f>
        <v/>
      </c>
      <c r="L11" t="n">
        <v>1.682</v>
      </c>
      <c r="M11" t="n">
        <v>1.9211</v>
      </c>
      <c r="N11" t="n">
        <v>0.2001</v>
      </c>
      <c r="O11" t="n">
        <v>0.68</v>
      </c>
      <c r="P11">
        <f>(L11-C11)/L11</f>
        <v/>
      </c>
      <c r="Q11" t="n">
        <v>1.7348</v>
      </c>
      <c r="R11" t="n">
        <v>1.9934</v>
      </c>
      <c r="S11" t="n">
        <v>0.1347</v>
      </c>
      <c r="T11" t="n">
        <v>0.7</v>
      </c>
      <c r="U11">
        <f>(Q11-C11)/Q11</f>
        <v/>
      </c>
      <c r="V11" t="n">
        <v>2.92185</v>
      </c>
      <c r="W11" t="n">
        <v>2.975207</v>
      </c>
      <c r="X11" t="n">
        <v>0.148944</v>
      </c>
      <c r="Y11" t="n">
        <v>96.698812</v>
      </c>
      <c r="Z11">
        <f>(V11-C11)/V11</f>
        <v/>
      </c>
    </row>
    <row r="12">
      <c r="A12" t="n">
        <v>70</v>
      </c>
      <c r="B12" t="inlineStr">
        <is>
          <t>C201</t>
        </is>
      </c>
      <c r="C12" t="n">
        <v>2.689</v>
      </c>
      <c r="D12" t="n">
        <v>2.952381</v>
      </c>
      <c r="E12" t="n">
        <v>0.244945</v>
      </c>
      <c r="F12" t="n">
        <v>2466.324893</v>
      </c>
      <c r="G12" t="n">
        <v>2.5882</v>
      </c>
      <c r="H12" t="n">
        <v>2.6458</v>
      </c>
      <c r="I12" t="n">
        <v>0.0434</v>
      </c>
      <c r="J12" t="n">
        <v>1.29</v>
      </c>
      <c r="K12">
        <f>(G12-C12)/G12*100</f>
        <v/>
      </c>
      <c r="L12" t="n">
        <v>1.4069</v>
      </c>
      <c r="M12" t="n">
        <v>1.6616</v>
      </c>
      <c r="N12" t="n">
        <v>0.1581</v>
      </c>
      <c r="O12" t="n">
        <v>0.73</v>
      </c>
      <c r="P12">
        <f>(L12-C12)/L12</f>
        <v/>
      </c>
      <c r="Q12" t="n">
        <v>1.6956</v>
      </c>
      <c r="R12" t="n">
        <v>1.9638</v>
      </c>
      <c r="S12" t="n">
        <v>0.1587</v>
      </c>
      <c r="T12" t="n">
        <v>0.6899999999999999</v>
      </c>
      <c r="U12">
        <f>(Q12-C12)/Q12</f>
        <v/>
      </c>
      <c r="V12" t="n">
        <v>2.428674</v>
      </c>
      <c r="W12" t="n">
        <v>2.589928</v>
      </c>
      <c r="X12" t="n">
        <v>0.124334</v>
      </c>
      <c r="Y12" t="n">
        <v>93.502582</v>
      </c>
      <c r="Z12">
        <f>(V12-C12)/V12</f>
        <v/>
      </c>
    </row>
    <row r="13">
      <c r="A13" t="n">
        <v>70</v>
      </c>
      <c r="B13" t="inlineStr">
        <is>
          <t>RC101</t>
        </is>
      </c>
      <c r="C13" t="n">
        <v>2.237783</v>
      </c>
      <c r="D13" t="n">
        <v>2.514286</v>
      </c>
      <c r="E13" t="n">
        <v>0.189982</v>
      </c>
      <c r="F13" t="n">
        <v>3163.998307</v>
      </c>
      <c r="G13" t="n">
        <v>1.9066</v>
      </c>
      <c r="H13" t="n">
        <v>2.0365</v>
      </c>
      <c r="I13" t="n">
        <v>0.06909999999999999</v>
      </c>
      <c r="J13" t="n">
        <v>1.09</v>
      </c>
      <c r="K13">
        <f>(G13-C13)/G13*100</f>
        <v/>
      </c>
      <c r="L13" t="n">
        <v>1.1585</v>
      </c>
      <c r="M13" t="n">
        <v>1.4344</v>
      </c>
      <c r="N13" t="n">
        <v>0.1223</v>
      </c>
      <c r="O13" t="n">
        <v>0.6899999999999999</v>
      </c>
      <c r="P13">
        <f>(L13-C13)/L13</f>
        <v/>
      </c>
      <c r="Q13" t="n">
        <v>1.1052</v>
      </c>
      <c r="R13" t="n">
        <v>1.2607</v>
      </c>
      <c r="S13" t="n">
        <v>0.0921</v>
      </c>
      <c r="T13" t="n">
        <v>0.64</v>
      </c>
      <c r="U13">
        <f>(Q13-C13)/Q13</f>
        <v/>
      </c>
      <c r="V13" t="n">
        <v>2.09042</v>
      </c>
      <c r="W13" t="n">
        <v>2.269231</v>
      </c>
      <c r="X13" t="n">
        <v>0.10843</v>
      </c>
      <c r="Y13" t="n">
        <v>177.489844</v>
      </c>
      <c r="Z13">
        <f>(V13-C13)/V13</f>
        <v/>
      </c>
    </row>
    <row r="14">
      <c r="A14" t="n">
        <v>80</v>
      </c>
      <c r="B14" t="inlineStr">
        <is>
          <t>R101</t>
        </is>
      </c>
      <c r="C14" t="n">
        <v>2.770407</v>
      </c>
      <c r="D14" t="n">
        <v>3.135135</v>
      </c>
      <c r="E14" t="n">
        <v>0.397371</v>
      </c>
      <c r="F14" t="n">
        <v>2703.258522</v>
      </c>
      <c r="G14" t="n">
        <v>2.2493</v>
      </c>
      <c r="H14" t="n">
        <v>2.3804</v>
      </c>
      <c r="I14" t="n">
        <v>0.1033</v>
      </c>
      <c r="J14" t="n">
        <v>1.28</v>
      </c>
      <c r="K14">
        <f>(G14-C14)/G14*100</f>
        <v/>
      </c>
      <c r="L14" t="n">
        <v>1.1757</v>
      </c>
      <c r="M14" t="n">
        <v>1.3212</v>
      </c>
      <c r="N14" t="n">
        <v>0.1</v>
      </c>
      <c r="O14" t="n">
        <v>0.89</v>
      </c>
      <c r="P14">
        <f>(L14-C14)/L14</f>
        <v/>
      </c>
      <c r="Q14" t="n">
        <v>1.215</v>
      </c>
      <c r="R14" t="n">
        <v>1.5279</v>
      </c>
      <c r="S14" t="n">
        <v>0.1825</v>
      </c>
      <c r="T14" t="n">
        <v>0.8100000000000001</v>
      </c>
      <c r="U14">
        <f>(Q14-C14)/Q14</f>
        <v/>
      </c>
      <c r="V14" t="n">
        <v>2.795077</v>
      </c>
      <c r="W14" t="n">
        <v>1.64532</v>
      </c>
      <c r="X14" t="n">
        <v>0.153357</v>
      </c>
      <c r="Y14" t="n">
        <v>143.769459</v>
      </c>
      <c r="Z14">
        <f>(V14-C14)/V14</f>
        <v/>
      </c>
    </row>
    <row r="15">
      <c r="A15" t="n">
        <v>80</v>
      </c>
      <c r="B15" t="inlineStr">
        <is>
          <t>C101</t>
        </is>
      </c>
      <c r="C15" t="n">
        <v>3.55575</v>
      </c>
      <c r="D15" t="n">
        <v>3.695652</v>
      </c>
      <c r="E15" t="n">
        <v>0.089492</v>
      </c>
      <c r="F15" t="n">
        <v>4966.608622</v>
      </c>
      <c r="G15" t="n">
        <v>3.1475</v>
      </c>
      <c r="H15" t="n">
        <v>3.2006</v>
      </c>
      <c r="I15" t="n">
        <v>0.0216</v>
      </c>
      <c r="J15" t="n">
        <v>1.38</v>
      </c>
      <c r="K15">
        <f>(G15-C15)/G15*100</f>
        <v/>
      </c>
      <c r="L15" t="n">
        <v>1.4543</v>
      </c>
      <c r="M15" t="n">
        <v>1.6399</v>
      </c>
      <c r="N15" t="n">
        <v>0.1307</v>
      </c>
      <c r="O15" t="n">
        <v>0.82</v>
      </c>
      <c r="P15">
        <f>(L15-C15)/L15</f>
        <v/>
      </c>
      <c r="Q15" t="n">
        <v>1.7981</v>
      </c>
      <c r="R15" t="n">
        <v>2.2194</v>
      </c>
      <c r="S15" t="n">
        <v>0.2414</v>
      </c>
      <c r="T15" t="n">
        <v>0.77</v>
      </c>
      <c r="U15">
        <f>(Q15-C15)/Q15</f>
        <v/>
      </c>
      <c r="V15" t="n">
        <v>3.080224</v>
      </c>
      <c r="W15" t="n">
        <v>3.364486</v>
      </c>
      <c r="X15" t="n">
        <v>0.178715</v>
      </c>
      <c r="Y15" t="n">
        <v>167.383916</v>
      </c>
      <c r="Z15">
        <f>(V15-C15)/V15</f>
        <v/>
      </c>
    </row>
    <row r="16">
      <c r="A16" t="n">
        <v>80</v>
      </c>
      <c r="B16" t="inlineStr">
        <is>
          <t>C201</t>
        </is>
      </c>
      <c r="C16" t="n">
        <v>3.40436</v>
      </c>
      <c r="D16" t="n">
        <v>3.5</v>
      </c>
      <c r="E16" t="n">
        <v>0.087003</v>
      </c>
      <c r="F16" t="n">
        <v>3047.248155</v>
      </c>
      <c r="G16" t="n">
        <v>2.5991</v>
      </c>
      <c r="H16" t="n">
        <v>2.7023</v>
      </c>
      <c r="I16" t="n">
        <v>0.0837</v>
      </c>
      <c r="J16" t="n">
        <v>1.39</v>
      </c>
      <c r="K16">
        <f>(G16-C16)/G16*100</f>
        <v/>
      </c>
      <c r="L16" t="n">
        <v>1.4309</v>
      </c>
      <c r="M16" t="n">
        <v>1.64</v>
      </c>
      <c r="N16" t="n">
        <v>0.1587</v>
      </c>
      <c r="O16" t="n">
        <v>0.8100000000000001</v>
      </c>
      <c r="P16">
        <f>(L16-C16)/L16</f>
        <v/>
      </c>
      <c r="Q16" t="n">
        <v>1.6139</v>
      </c>
      <c r="R16" t="n">
        <v>2.0073</v>
      </c>
      <c r="S16" t="n">
        <v>0.2055</v>
      </c>
      <c r="T16" t="n">
        <v>0.77</v>
      </c>
      <c r="U16">
        <f>(Q16-C16)/Q16</f>
        <v/>
      </c>
      <c r="V16" t="n">
        <v>2.749607</v>
      </c>
      <c r="W16" t="n">
        <v>3.173077</v>
      </c>
      <c r="X16" t="n">
        <v>0.332917</v>
      </c>
      <c r="Y16" t="n">
        <v>133.293685</v>
      </c>
      <c r="Z16">
        <f>(V16-C16)/V16</f>
        <v/>
      </c>
    </row>
    <row r="17">
      <c r="A17" t="n">
        <v>80</v>
      </c>
      <c r="B17" t="inlineStr">
        <is>
          <t>RC101</t>
        </is>
      </c>
      <c r="C17" t="n">
        <v>2.390215</v>
      </c>
      <c r="D17" t="n">
        <v>2.666667</v>
      </c>
      <c r="E17" t="n">
        <v>0.19708</v>
      </c>
      <c r="F17" t="n">
        <v>3282.914434</v>
      </c>
      <c r="G17" t="n">
        <v>1.7864</v>
      </c>
      <c r="H17" t="n">
        <v>1.8769</v>
      </c>
      <c r="I17" t="n">
        <v>0.0536</v>
      </c>
      <c r="J17" t="n">
        <v>1.31</v>
      </c>
      <c r="K17">
        <f>(G17-C17)/G17*100</f>
        <v/>
      </c>
      <c r="L17" t="n">
        <v>1.0233</v>
      </c>
      <c r="M17" t="n">
        <v>1.1621</v>
      </c>
      <c r="N17" t="n">
        <v>0.0964</v>
      </c>
      <c r="O17" t="n">
        <v>0.77</v>
      </c>
      <c r="P17">
        <f>(L17-C17)/L17</f>
        <v/>
      </c>
      <c r="Q17" t="n">
        <v>1.1394</v>
      </c>
      <c r="R17" t="n">
        <v>1.3174</v>
      </c>
      <c r="S17" t="n">
        <v>0.1051</v>
      </c>
      <c r="T17" t="n">
        <v>0.71</v>
      </c>
      <c r="U17">
        <f>(Q17-C17)/Q17</f>
        <v/>
      </c>
      <c r="V17" t="n">
        <v>2.084716</v>
      </c>
      <c r="W17" t="n">
        <v>2.174194</v>
      </c>
      <c r="X17" t="n">
        <v>0.080693</v>
      </c>
      <c r="Y17" t="n">
        <v>236.880904</v>
      </c>
      <c r="Z17">
        <f>(V17-C17)/V17</f>
        <v/>
      </c>
    </row>
    <row r="18">
      <c r="A18" t="n">
        <v>90</v>
      </c>
      <c r="B18" t="inlineStr">
        <is>
          <t>R101</t>
        </is>
      </c>
      <c r="C18" t="n">
        <v>2.956844</v>
      </c>
      <c r="D18" t="n">
        <v>3.168421</v>
      </c>
      <c r="E18" t="n">
        <v>0.206938</v>
      </c>
      <c r="F18" t="n">
        <v>1571.896253</v>
      </c>
      <c r="G18" t="n">
        <v>2.3846</v>
      </c>
      <c r="H18" t="n">
        <v>2.5137</v>
      </c>
      <c r="I18" t="n">
        <v>0.0922</v>
      </c>
      <c r="J18" t="n">
        <v>1.54</v>
      </c>
      <c r="K18">
        <f>(G18-C18)/G18*100</f>
        <v/>
      </c>
      <c r="L18" t="n">
        <v>1.1017</v>
      </c>
      <c r="M18" t="n">
        <v>1.2603</v>
      </c>
      <c r="N18" t="n">
        <v>0.1186</v>
      </c>
      <c r="O18" t="n">
        <v>0.91</v>
      </c>
      <c r="P18">
        <f>(L18-C18)/L18</f>
        <v/>
      </c>
      <c r="Q18" t="n">
        <v>1.1547</v>
      </c>
      <c r="R18" t="n">
        <v>1.4393</v>
      </c>
      <c r="S18" t="n">
        <v>0.1729</v>
      </c>
      <c r="T18" t="n">
        <v>0.88</v>
      </c>
      <c r="U18">
        <f>(Q18-C18)/Q18</f>
        <v/>
      </c>
      <c r="V18" t="n">
        <v>2.471454</v>
      </c>
      <c r="W18" t="n">
        <v>2.615385</v>
      </c>
      <c r="X18" t="n">
        <v>0.481969</v>
      </c>
      <c r="Y18" t="n">
        <v>241.14853</v>
      </c>
      <c r="Z18">
        <f>(V18-C18)/V18</f>
        <v/>
      </c>
    </row>
    <row r="19">
      <c r="A19" t="n">
        <v>90</v>
      </c>
      <c r="B19" t="inlineStr">
        <is>
          <t>C101</t>
        </is>
      </c>
      <c r="C19" t="n">
        <v>3.736578</v>
      </c>
      <c r="D19" t="n">
        <v>4</v>
      </c>
      <c r="E19" t="n">
        <v>0.163125</v>
      </c>
      <c r="F19" t="n">
        <v>6582.436348</v>
      </c>
      <c r="G19" t="n">
        <v>3.1612</v>
      </c>
      <c r="H19" t="n">
        <v>3.3135</v>
      </c>
      <c r="I19" t="n">
        <v>0.0745</v>
      </c>
      <c r="J19" t="n">
        <v>1.54</v>
      </c>
      <c r="K19">
        <f>(G19-C19)/G19*100</f>
        <v/>
      </c>
      <c r="L19" t="n">
        <v>1.4278</v>
      </c>
      <c r="M19" t="n">
        <v>1.6543</v>
      </c>
      <c r="N19" t="n">
        <v>0.1455</v>
      </c>
      <c r="O19" t="n">
        <v>0.89</v>
      </c>
      <c r="P19">
        <f>(L19-C19)/L19</f>
        <v/>
      </c>
      <c r="Q19" t="n">
        <v>1.7282</v>
      </c>
      <c r="R19" t="n">
        <v>2.1412</v>
      </c>
      <c r="S19" t="n">
        <v>0.2308</v>
      </c>
      <c r="T19" t="n">
        <v>0.85</v>
      </c>
      <c r="U19">
        <f>(Q19-C19)/Q19</f>
        <v/>
      </c>
      <c r="V19" t="n">
        <v>3.345927</v>
      </c>
      <c r="W19" t="n">
        <v>3.870968</v>
      </c>
      <c r="X19" t="n">
        <v>0.295568</v>
      </c>
      <c r="Y19" t="n">
        <v>231.16403</v>
      </c>
      <c r="Z19">
        <f>(V19-C19)/V19</f>
        <v/>
      </c>
    </row>
    <row r="20">
      <c r="A20" t="n">
        <v>90</v>
      </c>
      <c r="B20" t="inlineStr">
        <is>
          <t>C201</t>
        </is>
      </c>
      <c r="C20" t="n">
        <v>3.530874</v>
      </c>
      <c r="D20" t="n">
        <v>3.617021</v>
      </c>
      <c r="E20" t="n">
        <v>0.083533</v>
      </c>
      <c r="F20" t="n">
        <v>6805.389449</v>
      </c>
      <c r="G20" t="n">
        <v>2.5656</v>
      </c>
      <c r="H20" t="n">
        <v>2.6432</v>
      </c>
      <c r="I20" t="n">
        <v>0.0417</v>
      </c>
      <c r="J20" t="n">
        <v>1.6</v>
      </c>
      <c r="K20">
        <f>(G20-C20)/G20*100</f>
        <v/>
      </c>
      <c r="L20" t="n">
        <v>1.4116</v>
      </c>
      <c r="M20" t="n">
        <v>1.591</v>
      </c>
      <c r="N20" t="n">
        <v>0.1325</v>
      </c>
      <c r="O20" t="n">
        <v>0.83</v>
      </c>
      <c r="P20">
        <f>(L20-C20)/L20</f>
        <v/>
      </c>
      <c r="Q20" t="n">
        <v>1.5003</v>
      </c>
      <c r="R20" t="n">
        <v>1.9214</v>
      </c>
      <c r="S20" t="n">
        <v>0.2126</v>
      </c>
      <c r="T20" t="n">
        <v>0.84</v>
      </c>
      <c r="U20">
        <f>(Q20-C20)/Q20</f>
        <v/>
      </c>
      <c r="V20" t="n">
        <v>2.967657</v>
      </c>
      <c r="W20" t="n">
        <v>2.727273</v>
      </c>
      <c r="X20" t="n">
        <v>0.277641</v>
      </c>
      <c r="Y20" t="n">
        <v>106.720359</v>
      </c>
      <c r="Z20">
        <f>(V20-C20)/V20</f>
        <v/>
      </c>
    </row>
    <row r="21">
      <c r="A21" t="n">
        <v>90</v>
      </c>
      <c r="B21" t="inlineStr">
        <is>
          <t>RC101</t>
        </is>
      </c>
      <c r="C21" t="n">
        <v>2.61371</v>
      </c>
      <c r="D21" t="n">
        <v>2.767677</v>
      </c>
      <c r="E21" t="n">
        <v>0.12682</v>
      </c>
      <c r="F21" t="n">
        <v>3230.399777</v>
      </c>
      <c r="G21" t="n">
        <v>1.9443</v>
      </c>
      <c r="H21" t="n">
        <v>1.9601</v>
      </c>
      <c r="I21" t="n">
        <v>0.0342</v>
      </c>
      <c r="J21" t="n">
        <v>1.54</v>
      </c>
      <c r="K21">
        <f>(G21-C21)/G21*100</f>
        <v/>
      </c>
      <c r="L21" t="n">
        <v>1.0394</v>
      </c>
      <c r="M21" t="n">
        <v>1.1646</v>
      </c>
      <c r="N21" t="n">
        <v>0.1024</v>
      </c>
      <c r="O21" t="n">
        <v>0.86</v>
      </c>
      <c r="P21">
        <f>(L21-C21)/L21</f>
        <v/>
      </c>
      <c r="Q21" t="n">
        <v>1.0898</v>
      </c>
      <c r="R21" t="n">
        <v>1.3006</v>
      </c>
      <c r="S21" t="n">
        <v>0.1068</v>
      </c>
      <c r="T21" t="n">
        <v>0.82</v>
      </c>
      <c r="U21">
        <f>(Q21-C21)/Q21</f>
        <v/>
      </c>
      <c r="V21" t="n">
        <v>2.035106</v>
      </c>
      <c r="W21" t="n">
        <v>2.137725</v>
      </c>
      <c r="X21" t="n">
        <v>0.08356</v>
      </c>
      <c r="Y21" t="n">
        <v>257.850558</v>
      </c>
      <c r="Z21">
        <f>(V21-C21)/V21</f>
        <v/>
      </c>
    </row>
    <row r="22">
      <c r="A22" t="n">
        <v>100</v>
      </c>
      <c r="B22" t="inlineStr">
        <is>
          <t>R101</t>
        </is>
      </c>
      <c r="C22" t="n">
        <v>3.393518</v>
      </c>
      <c r="D22" t="n">
        <v>3.48</v>
      </c>
      <c r="E22" t="n">
        <v>0.078939</v>
      </c>
      <c r="F22" t="n">
        <v>2948.943523</v>
      </c>
      <c r="G22" t="n">
        <v>2.8713</v>
      </c>
      <c r="H22" t="n">
        <v>2.9456</v>
      </c>
      <c r="I22" t="n">
        <v>0.057</v>
      </c>
      <c r="J22" t="n">
        <v>1.62</v>
      </c>
      <c r="K22">
        <f>(G22-C22)/G22*100</f>
        <v/>
      </c>
      <c r="L22" t="n">
        <v>1.2223</v>
      </c>
      <c r="M22" t="n">
        <v>1.4389</v>
      </c>
      <c r="N22" t="n">
        <v>0.1367</v>
      </c>
      <c r="O22" t="n">
        <v>0.99</v>
      </c>
      <c r="P22">
        <f>(L22-C22)/L22</f>
        <v/>
      </c>
      <c r="Q22" t="n">
        <v>1.1821</v>
      </c>
      <c r="R22" t="n">
        <v>1.4147</v>
      </c>
      <c r="S22" t="n">
        <v>0.1468</v>
      </c>
      <c r="T22" t="n">
        <v>0.99</v>
      </c>
      <c r="U22">
        <f>(Q22-C22)/Q22</f>
        <v/>
      </c>
      <c r="V22" t="n">
        <v>2.926176</v>
      </c>
      <c r="W22" t="n">
        <v>3.668224</v>
      </c>
      <c r="X22" t="n">
        <v>0.13994</v>
      </c>
      <c r="Y22" t="n">
        <v>264.806917</v>
      </c>
      <c r="Z22">
        <f>(V22-C22)/V22</f>
        <v/>
      </c>
    </row>
    <row r="23">
      <c r="A23" t="n">
        <v>100</v>
      </c>
      <c r="B23" t="inlineStr">
        <is>
          <t>C101</t>
        </is>
      </c>
      <c r="C23" t="n">
        <v>3.642952</v>
      </c>
      <c r="D23" t="n">
        <v>3.736264</v>
      </c>
      <c r="E23" t="n">
        <v>0.078545</v>
      </c>
      <c r="F23" t="n">
        <v>7632.137947</v>
      </c>
      <c r="G23" t="n">
        <v>3.1347</v>
      </c>
      <c r="H23" t="n">
        <v>3.2609</v>
      </c>
      <c r="I23" t="n">
        <v>0.058</v>
      </c>
      <c r="J23" t="n">
        <v>1.7</v>
      </c>
      <c r="K23">
        <f>(G23-C23)/G23*100</f>
        <v/>
      </c>
      <c r="L23" t="n">
        <v>1.355</v>
      </c>
      <c r="M23" t="n">
        <v>1.5304</v>
      </c>
      <c r="N23" t="n">
        <v>0.09569999999999999</v>
      </c>
      <c r="O23" t="n">
        <v>0.91</v>
      </c>
      <c r="P23">
        <f>(L23-C23)/L23</f>
        <v/>
      </c>
      <c r="Q23" t="n">
        <v>1.5969</v>
      </c>
      <c r="R23" t="n">
        <v>1.9775</v>
      </c>
      <c r="S23" t="n">
        <v>0.1884</v>
      </c>
      <c r="T23" t="n">
        <v>0.9399999999999999</v>
      </c>
      <c r="U23">
        <f>(Q23-C23)/Q23</f>
        <v/>
      </c>
      <c r="V23" t="n">
        <v>2.946272</v>
      </c>
      <c r="W23" t="n">
        <v>3.214286</v>
      </c>
      <c r="X23" t="n">
        <v>0.277726</v>
      </c>
      <c r="Y23" t="n">
        <v>172.364468</v>
      </c>
      <c r="Z23">
        <f>(V23-C23)/V23</f>
        <v/>
      </c>
    </row>
    <row r="24">
      <c r="A24" t="n">
        <v>100</v>
      </c>
      <c r="B24" t="inlineStr">
        <is>
          <t>C201</t>
        </is>
      </c>
      <c r="C24" t="n">
        <v>3.725152</v>
      </c>
      <c r="D24" t="n">
        <v>3.846154</v>
      </c>
      <c r="E24" t="n">
        <v>0.089724</v>
      </c>
      <c r="F24" t="n">
        <v>8922.561458</v>
      </c>
      <c r="G24" t="n">
        <v>2.5692</v>
      </c>
      <c r="H24" t="n">
        <v>2.7048</v>
      </c>
      <c r="I24" t="n">
        <v>0.0762</v>
      </c>
      <c r="J24" t="n">
        <v>1.85</v>
      </c>
      <c r="K24">
        <f>(G24-C24)/G24*100</f>
        <v/>
      </c>
      <c r="L24" t="n">
        <v>1.3046</v>
      </c>
      <c r="M24" t="n">
        <v>1.6955</v>
      </c>
      <c r="N24" t="n">
        <v>0.1865</v>
      </c>
      <c r="O24" t="n">
        <v>0.83</v>
      </c>
      <c r="P24">
        <f>(L24-C24)/L24</f>
        <v/>
      </c>
      <c r="Q24" t="n">
        <v>1.3699</v>
      </c>
      <c r="R24" t="n">
        <v>1.533</v>
      </c>
      <c r="S24" t="n">
        <v>0.1332</v>
      </c>
      <c r="T24" t="n">
        <v>0.93</v>
      </c>
      <c r="U24">
        <f>(Q24-C24)/Q24</f>
        <v/>
      </c>
      <c r="V24" t="n">
        <v>2.970908</v>
      </c>
      <c r="W24" t="n">
        <v>3.235821</v>
      </c>
      <c r="X24" t="n">
        <v>0.280321</v>
      </c>
      <c r="Y24" t="n">
        <v>160.049798</v>
      </c>
      <c r="Z24">
        <f>(V24-C24)/V24</f>
        <v/>
      </c>
    </row>
    <row r="25">
      <c r="A25" t="n">
        <v>100</v>
      </c>
      <c r="B25" t="inlineStr">
        <is>
          <t>RC101</t>
        </is>
      </c>
      <c r="C25" t="n">
        <v>2.98989</v>
      </c>
      <c r="D25" t="n">
        <v>3.160377</v>
      </c>
      <c r="E25" t="n">
        <v>0.112272</v>
      </c>
      <c r="F25" t="n">
        <v>3596.872248</v>
      </c>
      <c r="G25" t="n">
        <v>2.3378</v>
      </c>
      <c r="H25" t="n">
        <v>2.4497</v>
      </c>
      <c r="I25" t="n">
        <v>0.1035</v>
      </c>
      <c r="J25" t="n">
        <v>1.77</v>
      </c>
      <c r="K25">
        <f>(G25-C25)/G25*100</f>
        <v/>
      </c>
      <c r="L25" t="n">
        <v>1.0287</v>
      </c>
      <c r="M25" t="n">
        <v>1.245</v>
      </c>
      <c r="N25" t="n">
        <v>0.1114</v>
      </c>
      <c r="O25" t="n">
        <v>0.98</v>
      </c>
      <c r="P25">
        <f>(L25-C25)/L25</f>
        <v/>
      </c>
      <c r="Q25" t="n">
        <v>1.1097</v>
      </c>
      <c r="R25" t="n">
        <v>1.2715</v>
      </c>
      <c r="S25" t="n">
        <v>0.08939999999999999</v>
      </c>
      <c r="T25" t="n">
        <v>0.93</v>
      </c>
      <c r="U25">
        <f>(Q25-C25)/Q25</f>
        <v/>
      </c>
      <c r="V25" t="n">
        <v>2.434114</v>
      </c>
      <c r="W25" t="n">
        <v>3.046729</v>
      </c>
      <c r="X25" t="n">
        <v>0.415246</v>
      </c>
      <c r="Y25" t="n">
        <v>276.021848</v>
      </c>
      <c r="Z25">
        <f>(V25-C25)/V25</f>
        <v/>
      </c>
    </row>
    <row r="26">
      <c r="K26">
        <f>AVERAGE(K2:K25)</f>
        <v/>
      </c>
      <c r="P26">
        <f>AVERAGE(P2:P25)</f>
        <v/>
      </c>
      <c r="U26">
        <f>AVERAGE(U2:U25)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3.5"/>
  <cols>
    <col width="18" customWidth="1" min="1" max="24"/>
  </cols>
  <sheetData>
    <row r="1" ht="27" customHeight="1">
      <c r="A1" s="7" t="inlineStr">
        <is>
          <t>Customers</t>
        </is>
      </c>
      <c r="B1" s="7" t="inlineStr">
        <is>
          <t>Instance</t>
        </is>
      </c>
      <c r="C1" s="7" t="inlineStr">
        <is>
          <t>ALNS Mean Obj</t>
        </is>
      </c>
      <c r="D1" s="7" t="inlineStr">
        <is>
          <t>ALNS Best Obj</t>
        </is>
      </c>
      <c r="E1" s="7" t="inlineStr">
        <is>
          <t>ALNS Obj Std</t>
        </is>
      </c>
      <c r="F1" s="7" t="inlineStr">
        <is>
          <t>ALNS Runtime (s)</t>
        </is>
      </c>
      <c r="G1" s="7" t="inlineStr">
        <is>
          <t>ACO Avg Fitness</t>
        </is>
      </c>
      <c r="H1" s="7" t="inlineStr">
        <is>
          <t>ACO Best Fitness</t>
        </is>
      </c>
      <c r="I1" s="7" t="inlineStr">
        <is>
          <t>ACO Std Dev</t>
        </is>
      </c>
      <c r="J1" s="7" t="inlineStr">
        <is>
          <t>ACO Time (s)</t>
        </is>
      </c>
      <c r="K1" s="7" t="inlineStr">
        <is>
          <t>GAP ALNS vs ACO Avg (%)</t>
        </is>
      </c>
      <c r="L1" s="7" t="inlineStr">
        <is>
          <t>GAP ALNS vs ACO Best (%)</t>
        </is>
      </c>
      <c r="M1" s="7" t="inlineStr">
        <is>
          <t>GA Avg Fitness</t>
        </is>
      </c>
      <c r="N1" s="7" t="inlineStr">
        <is>
          <t>GA Best Fitness</t>
        </is>
      </c>
      <c r="O1" s="7" t="inlineStr">
        <is>
          <t>GA Std Dev</t>
        </is>
      </c>
      <c r="P1" s="7" t="inlineStr">
        <is>
          <t>GA Time (s)</t>
        </is>
      </c>
      <c r="Q1" s="7" t="inlineStr">
        <is>
          <t>GAP ALNS vs GA Avg (%)</t>
        </is>
      </c>
      <c r="R1" s="7" t="inlineStr">
        <is>
          <t>GAP ALNS vs GA Best (%)</t>
        </is>
      </c>
      <c r="S1" s="7" t="inlineStr">
        <is>
          <t>PSO Avg Fitness</t>
        </is>
      </c>
      <c r="T1" s="7" t="inlineStr">
        <is>
          <t>PSO Best Fitness</t>
        </is>
      </c>
      <c r="U1" s="7" t="inlineStr">
        <is>
          <t>PSO Std Dev</t>
        </is>
      </c>
      <c r="V1" s="7" t="inlineStr">
        <is>
          <t>PSO Time (s)</t>
        </is>
      </c>
      <c r="W1" s="7" t="inlineStr">
        <is>
          <t>GAP ALNS vs PSO Avg (%)</t>
        </is>
      </c>
      <c r="X1" s="7" t="inlineStr">
        <is>
          <t>GAP ALNS vs PSO Best (%)</t>
        </is>
      </c>
    </row>
    <row r="2">
      <c r="A2" t="inlineStr">
        <is>
          <t>Avg by Type</t>
        </is>
      </c>
      <c r="B2" t="inlineStr">
        <is>
          <t>C101</t>
        </is>
      </c>
      <c r="C2" t="n">
        <v>3.211671</v>
      </c>
      <c r="D2" t="n">
        <v>3.636354</v>
      </c>
      <c r="E2" t="n">
        <v>0.158011</v>
      </c>
      <c r="F2" t="n">
        <v>4834.606957</v>
      </c>
      <c r="G2" t="n">
        <v>3.079033</v>
      </c>
      <c r="H2" t="n">
        <v>3.152817</v>
      </c>
      <c r="I2" t="n">
        <v>0.0465</v>
      </c>
      <c r="J2" t="n">
        <v>1.3</v>
      </c>
      <c r="K2" t="n">
        <v>-1.274567</v>
      </c>
      <c r="L2" t="n">
        <v>-13.15235</v>
      </c>
      <c r="M2" t="n">
        <v>1.5413</v>
      </c>
      <c r="N2" t="n">
        <v>1.756217</v>
      </c>
      <c r="O2" t="n">
        <v>0.1423</v>
      </c>
      <c r="P2" t="n">
        <v>0.748333</v>
      </c>
      <c r="Q2" t="n">
        <v>-49.8839</v>
      </c>
      <c r="R2" t="n">
        <v>-51.329167</v>
      </c>
      <c r="S2" t="n">
        <v>1.733033</v>
      </c>
      <c r="T2" t="n">
        <v>2.041067</v>
      </c>
      <c r="U2" t="n">
        <v>0.177533</v>
      </c>
      <c r="V2" t="n">
        <v>0.745</v>
      </c>
      <c r="W2" t="n">
        <v>-44.260133</v>
      </c>
      <c r="X2" t="n">
        <v>-43.7358</v>
      </c>
    </row>
    <row r="3">
      <c r="A3" t="inlineStr">
        <is>
          <t>Avg by Type</t>
        </is>
      </c>
      <c r="B3" t="inlineStr">
        <is>
          <t>C201</t>
        </is>
      </c>
      <c r="C3" t="n">
        <v>3.009651</v>
      </c>
      <c r="D3" t="n">
        <v>3.150013</v>
      </c>
      <c r="E3" t="n">
        <v>0.116868</v>
      </c>
      <c r="F3" t="n">
        <v>4200.74771</v>
      </c>
      <c r="G3" t="n">
        <v>2.486283</v>
      </c>
      <c r="H3" t="n">
        <v>2.606967</v>
      </c>
      <c r="I3" t="n">
        <v>0.070217</v>
      </c>
      <c r="J3" t="n">
        <v>1.361667</v>
      </c>
      <c r="K3" t="n">
        <v>-15.057533</v>
      </c>
      <c r="L3" t="n">
        <v>-15.141033</v>
      </c>
      <c r="M3" t="n">
        <v>1.44455</v>
      </c>
      <c r="N3" t="n">
        <v>1.681433</v>
      </c>
      <c r="O3" t="n">
        <v>0.148483</v>
      </c>
      <c r="P3" t="n">
        <v>0.756667</v>
      </c>
      <c r="Q3" t="n">
        <v>-49.688467</v>
      </c>
      <c r="R3" t="n">
        <v>-44.632867</v>
      </c>
      <c r="S3" t="n">
        <v>1.586267</v>
      </c>
      <c r="T3" t="n">
        <v>1.895767</v>
      </c>
      <c r="U3" t="n">
        <v>0.182083</v>
      </c>
      <c r="V3" t="n">
        <v>0.735</v>
      </c>
      <c r="W3" t="n">
        <v>-44.676633</v>
      </c>
      <c r="X3" t="n">
        <v>-37.370783</v>
      </c>
    </row>
    <row r="4">
      <c r="A4" t="inlineStr">
        <is>
          <t>Avg by Type</t>
        </is>
      </c>
      <c r="B4" t="inlineStr">
        <is>
          <t>R101</t>
        </is>
      </c>
      <c r="C4" t="n">
        <v>2.602156</v>
      </c>
      <c r="D4" t="n">
        <v>2.900415</v>
      </c>
      <c r="E4" t="n">
        <v>0.23052</v>
      </c>
      <c r="F4" t="n">
        <v>1739.694249</v>
      </c>
      <c r="G4" t="n">
        <v>2.2778</v>
      </c>
      <c r="H4" t="n">
        <v>2.38525</v>
      </c>
      <c r="I4" t="n">
        <v>0.07485</v>
      </c>
      <c r="J4" t="n">
        <v>1.221667</v>
      </c>
      <c r="K4" t="n">
        <v>-10.191383</v>
      </c>
      <c r="L4" t="n">
        <v>-15.39555</v>
      </c>
      <c r="M4" t="n">
        <v>1.148917</v>
      </c>
      <c r="N4" t="n">
        <v>1.296183</v>
      </c>
      <c r="O4" t="n">
        <v>0.1011</v>
      </c>
      <c r="P4" t="n">
        <v>0.881667</v>
      </c>
      <c r="Q4" t="n">
        <v>-53.52195</v>
      </c>
      <c r="R4" t="n">
        <v>-53.161133</v>
      </c>
      <c r="S4" t="n">
        <v>1.182217</v>
      </c>
      <c r="T4" t="n">
        <v>1.406633</v>
      </c>
      <c r="U4" t="n">
        <v>0.14005</v>
      </c>
      <c r="V4" t="n">
        <v>0.77</v>
      </c>
      <c r="W4" t="n">
        <v>-52.1279</v>
      </c>
      <c r="X4" t="n">
        <v>-49.562433</v>
      </c>
    </row>
    <row r="5">
      <c r="A5" t="inlineStr">
        <is>
          <t>Avg by Type</t>
        </is>
      </c>
      <c r="B5" t="inlineStr">
        <is>
          <t>RC101</t>
        </is>
      </c>
      <c r="C5" t="n">
        <v>2.394966</v>
      </c>
      <c r="D5" t="n">
        <v>2.555974</v>
      </c>
      <c r="E5" t="n">
        <v>0.113718</v>
      </c>
      <c r="F5" t="n">
        <v>2751.667806</v>
      </c>
      <c r="G5" t="n">
        <v>1.942483</v>
      </c>
      <c r="H5" t="n">
        <v>2.011717</v>
      </c>
      <c r="I5" t="n">
        <v>0.051433</v>
      </c>
      <c r="J5" t="n">
        <v>1.221667</v>
      </c>
      <c r="K5" t="n">
        <v>-18.270683</v>
      </c>
      <c r="L5" t="n">
        <v>-20.48485</v>
      </c>
      <c r="M5" t="n">
        <v>1.075917</v>
      </c>
      <c r="N5" t="n">
        <v>1.323383</v>
      </c>
      <c r="O5" t="n">
        <v>0.12115</v>
      </c>
      <c r="P5" t="n">
        <v>0.746667</v>
      </c>
      <c r="Q5" t="n">
        <v>-54.102417</v>
      </c>
      <c r="R5" t="n">
        <v>-46.426367</v>
      </c>
      <c r="S5" t="n">
        <v>1.1197</v>
      </c>
      <c r="T5" t="n">
        <v>1.30125</v>
      </c>
      <c r="U5" t="n">
        <v>0.104083</v>
      </c>
      <c r="V5" t="n">
        <v>0.6899999999999999</v>
      </c>
      <c r="W5" t="n">
        <v>-52.376</v>
      </c>
      <c r="X5" t="n">
        <v>-47.942617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2026-03-01T07:25:29Z</dcterms:created>
  <dcterms:modified xsi:type="dcterms:W3CDTF">2026-04-19T18:17:54Z</dcterms:modified>
  <cp:lastModifiedBy>昊灵 史</cp:lastModifiedBy>
</cp:coreProperties>
</file>